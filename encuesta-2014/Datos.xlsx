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195" windowHeight="8190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K25" i="1"/>
  <c r="K26"/>
  <c r="K27"/>
  <c r="K28"/>
  <c r="K29"/>
  <c r="K30"/>
  <c r="K31"/>
  <c r="K32"/>
  <c r="K33"/>
  <c r="K34"/>
  <c r="K35"/>
  <c r="K36"/>
  <c r="K37"/>
  <c r="K38"/>
  <c r="K39"/>
  <c r="K40"/>
  <c r="K41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"/>
  <c r="J33"/>
  <c r="J34"/>
  <c r="J35"/>
  <c r="J36"/>
  <c r="J37"/>
  <c r="J38"/>
  <c r="J39"/>
  <c r="J40"/>
  <c r="J41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K53"/>
  <c r="J53"/>
  <c r="I53"/>
  <c r="I41"/>
  <c r="I26"/>
  <c r="I27"/>
  <c r="I28"/>
  <c r="I29"/>
  <c r="I30"/>
  <c r="I31"/>
  <c r="I32"/>
  <c r="I33"/>
  <c r="I34"/>
  <c r="I35"/>
  <c r="I36"/>
  <c r="I37"/>
  <c r="I38"/>
  <c r="I39"/>
  <c r="I40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"/>
  <c r="F62"/>
  <c r="E62"/>
  <c r="D62"/>
  <c r="C62"/>
  <c r="B62"/>
  <c r="H62"/>
  <c r="G62"/>
  <c r="C65" s="1"/>
  <c r="B3" i="2" s="1"/>
  <c r="C64" i="1" l="1"/>
  <c r="B2" i="2" s="1"/>
  <c r="B5"/>
</calcChain>
</file>

<file path=xl/sharedStrings.xml><?xml version="1.0" encoding="utf-8"?>
<sst xmlns="http://schemas.openxmlformats.org/spreadsheetml/2006/main" count="19" uniqueCount="16">
  <si>
    <t>n</t>
  </si>
  <si>
    <t>Utilidad</t>
  </si>
  <si>
    <t>Utilidad en Clases</t>
  </si>
  <si>
    <t>Compra Domestica</t>
  </si>
  <si>
    <t>Facilitazion de Codificar</t>
  </si>
  <si>
    <t>Entendimiento Anteexplicacion</t>
  </si>
  <si>
    <t>Entendimiento General</t>
  </si>
  <si>
    <t>Calificacion del usuario</t>
  </si>
  <si>
    <t>Rentabilidad Comercial (*Alumno)</t>
  </si>
  <si>
    <t>Usabilidad del Programa</t>
  </si>
  <si>
    <t>Promedio General</t>
  </si>
  <si>
    <t>Utilizacion en Clases</t>
  </si>
  <si>
    <t>Facilitacion de Codificar</t>
  </si>
  <si>
    <t>C</t>
  </si>
  <si>
    <t>E</t>
  </si>
  <si>
    <t>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</si>
</sst>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/>
      <right style="thin">
        <color auto="1"/>
      </right>
      <top style="medium">
        <color indexed="64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1" fillId="0" borderId="0" xfId="0" applyFon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/>
    <c:plotArea>
      <c:layout/>
      <c:pieChart>
        <c:varyColors val="1"/>
        <c:ser>
          <c:idx val="0"/>
          <c:order val="0"/>
          <c:tx>
            <c:strRef>
              <c:f>Hoja3!$A$13</c:f>
              <c:strCache>
                <c:ptCount val="1"/>
                <c:pt idx="0">
                  <c:v>Facilitacion de Codificar</c:v>
                </c:pt>
              </c:strCache>
            </c:strRef>
          </c:tx>
          <c:val>
            <c:numRef>
              <c:f>Hoja3!$A$14:$A$16</c:f>
              <c:numCache>
                <c:formatCode>General</c:formatCode>
                <c:ptCount val="3"/>
                <c:pt idx="0">
                  <c:v>32</c:v>
                </c:pt>
                <c:pt idx="1">
                  <c:v>9</c:v>
                </c:pt>
                <c:pt idx="2">
                  <c:v>3</c:v>
                </c:pt>
              </c:numCache>
            </c:numRef>
          </c:val>
        </c:ser>
        <c:firstSliceAng val="0"/>
      </c:pieChart>
    </c:plotArea>
    <c:legend>
      <c:legendPos val="r"/>
      <c:txPr>
        <a:bodyPr/>
        <a:lstStyle/>
        <a:p>
          <a:pPr rtl="0">
            <a:defRPr/>
          </a:pPr>
          <a:endParaRPr lang="es-ES"/>
        </a:p>
      </c:tx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/>
    <c:plotArea>
      <c:layout/>
      <c:pieChart>
        <c:varyColors val="1"/>
        <c:ser>
          <c:idx val="0"/>
          <c:order val="0"/>
          <c:tx>
            <c:strRef>
              <c:f>Hoja3!$A$1</c:f>
              <c:strCache>
                <c:ptCount val="1"/>
                <c:pt idx="0">
                  <c:v>Utilidad</c:v>
                </c:pt>
              </c:strCache>
            </c:strRef>
          </c:tx>
          <c:val>
            <c:numRef>
              <c:f>Hoja3!$A$2:$A$4</c:f>
              <c:numCache>
                <c:formatCode>General</c:formatCode>
                <c:ptCount val="3"/>
                <c:pt idx="0">
                  <c:v>38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txPr>
        <a:bodyPr/>
        <a:lstStyle/>
        <a:p>
          <a:pPr rtl="0">
            <a:defRPr/>
          </a:pPr>
          <a:endParaRPr lang="es-ES"/>
        </a:p>
      </c:tx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/>
    <c:plotArea>
      <c:layout/>
      <c:pieChart>
        <c:varyColors val="1"/>
        <c:ser>
          <c:idx val="0"/>
          <c:order val="0"/>
          <c:tx>
            <c:strRef>
              <c:f>Hoja3!$A$5</c:f>
              <c:strCache>
                <c:ptCount val="1"/>
                <c:pt idx="0">
                  <c:v>Utilizacion en Clases</c:v>
                </c:pt>
              </c:strCache>
            </c:strRef>
          </c:tx>
          <c:val>
            <c:numRef>
              <c:f>Hoja3!$A$6:$A$8</c:f>
              <c:numCache>
                <c:formatCode>General</c:formatCode>
                <c:ptCount val="3"/>
                <c:pt idx="0">
                  <c:v>35</c:v>
                </c:pt>
                <c:pt idx="1">
                  <c:v>1</c:v>
                </c:pt>
                <c:pt idx="2">
                  <c:v>8</c:v>
                </c:pt>
              </c:numCache>
            </c:numRef>
          </c:val>
        </c:ser>
        <c:firstSliceAng val="0"/>
      </c:pieChart>
    </c:plotArea>
    <c:legend>
      <c:legendPos val="r"/>
      <c:txPr>
        <a:bodyPr/>
        <a:lstStyle/>
        <a:p>
          <a:pPr rtl="0">
            <a:defRPr/>
          </a:pPr>
          <a:endParaRPr lang="es-ES"/>
        </a:p>
      </c:tx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/>
    <c:plotArea>
      <c:layout/>
      <c:pieChart>
        <c:varyColors val="1"/>
        <c:ser>
          <c:idx val="0"/>
          <c:order val="0"/>
          <c:tx>
            <c:strRef>
              <c:f>Hoja3!$A$9</c:f>
              <c:strCache>
                <c:ptCount val="1"/>
                <c:pt idx="0">
                  <c:v>Compra Domestica</c:v>
                </c:pt>
              </c:strCache>
            </c:strRef>
          </c:tx>
          <c:val>
            <c:numRef>
              <c:f>Hoja3!$A$10:$A$12</c:f>
              <c:numCache>
                <c:formatCode>General</c:formatCode>
                <c:ptCount val="3"/>
                <c:pt idx="0">
                  <c:v>16</c:v>
                </c:pt>
                <c:pt idx="1">
                  <c:v>8</c:v>
                </c:pt>
                <c:pt idx="2">
                  <c:v>20</c:v>
                </c:pt>
              </c:numCache>
            </c:numRef>
          </c:val>
        </c:ser>
        <c:firstSliceAng val="0"/>
      </c:pieChart>
    </c:plotArea>
    <c:legend>
      <c:legendPos val="r"/>
      <c:txPr>
        <a:bodyPr/>
        <a:lstStyle/>
        <a:p>
          <a:pPr rtl="0">
            <a:defRPr/>
          </a:pPr>
          <a:endParaRPr lang="es-ES"/>
        </a:p>
      </c:tx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/>
    <c:plotArea>
      <c:layout/>
      <c:pieChart>
        <c:varyColors val="1"/>
        <c:ser>
          <c:idx val="0"/>
          <c:order val="0"/>
          <c:tx>
            <c:strRef>
              <c:f>Hoja3!$A$17</c:f>
              <c:strCache>
                <c:ptCount val="1"/>
                <c:pt idx="0">
                  <c:v>Entendimiento Anteexplicacion</c:v>
                </c:pt>
              </c:strCache>
            </c:strRef>
          </c:tx>
          <c:val>
            <c:numRef>
              <c:f>Hoja3!$A$18:$A$20</c:f>
              <c:numCache>
                <c:formatCode>General</c:formatCode>
                <c:ptCount val="3"/>
                <c:pt idx="0">
                  <c:v>6</c:v>
                </c:pt>
                <c:pt idx="1">
                  <c:v>21</c:v>
                </c:pt>
                <c:pt idx="2">
                  <c:v>17</c:v>
                </c:pt>
              </c:numCache>
            </c:numRef>
          </c:val>
        </c:ser>
        <c:firstSliceAng val="0"/>
      </c:pieChart>
    </c:plotArea>
    <c:legend>
      <c:legendPos val="r"/>
      <c:txPr>
        <a:bodyPr/>
        <a:lstStyle/>
        <a:p>
          <a:pPr rtl="0">
            <a:defRPr/>
          </a:pPr>
          <a:endParaRPr lang="es-ES"/>
        </a:p>
      </c:tx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1</xdr:row>
      <xdr:rowOff>57150</xdr:rowOff>
    </xdr:from>
    <xdr:to>
      <xdr:col>7</xdr:col>
      <xdr:colOff>590550</xdr:colOff>
      <xdr:row>15</xdr:row>
      <xdr:rowOff>133350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628650</xdr:colOff>
      <xdr:row>16</xdr:row>
      <xdr:rowOff>47625</xdr:rowOff>
    </xdr:from>
    <xdr:to>
      <xdr:col>7</xdr:col>
      <xdr:colOff>628650</xdr:colOff>
      <xdr:row>30</xdr:row>
      <xdr:rowOff>123825</xdr:rowOff>
    </xdr:to>
    <xdr:graphicFrame macro="">
      <xdr:nvGraphicFramePr>
        <xdr:cNvPr id="7" name="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742950</xdr:colOff>
      <xdr:row>1</xdr:row>
      <xdr:rowOff>76200</xdr:rowOff>
    </xdr:from>
    <xdr:to>
      <xdr:col>13</xdr:col>
      <xdr:colOff>742950</xdr:colOff>
      <xdr:row>15</xdr:row>
      <xdr:rowOff>152400</xdr:rowOff>
    </xdr:to>
    <xdr:graphicFrame macro="">
      <xdr:nvGraphicFramePr>
        <xdr:cNvPr id="8" name="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733425</xdr:colOff>
      <xdr:row>16</xdr:row>
      <xdr:rowOff>66675</xdr:rowOff>
    </xdr:from>
    <xdr:to>
      <xdr:col>13</xdr:col>
      <xdr:colOff>733425</xdr:colOff>
      <xdr:row>30</xdr:row>
      <xdr:rowOff>142875</xdr:rowOff>
    </xdr:to>
    <xdr:graphicFrame macro="">
      <xdr:nvGraphicFramePr>
        <xdr:cNvPr id="9" name="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676275</xdr:colOff>
      <xdr:row>31</xdr:row>
      <xdr:rowOff>85725</xdr:rowOff>
    </xdr:from>
    <xdr:to>
      <xdr:col>7</xdr:col>
      <xdr:colOff>676275</xdr:colOff>
      <xdr:row>45</xdr:row>
      <xdr:rowOff>161925</xdr:rowOff>
    </xdr:to>
    <xdr:graphicFrame macro="">
      <xdr:nvGraphicFramePr>
        <xdr:cNvPr id="10" name="9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tabSelected="1" topLeftCell="C13" zoomScale="80" zoomScaleNormal="80" workbookViewId="0">
      <selection activeCell="J50" sqref="J50"/>
    </sheetView>
  </sheetViews>
  <sheetFormatPr baseColWidth="10" defaultRowHeight="15"/>
  <cols>
    <col min="1" max="1" width="3.7109375" style="1" customWidth="1"/>
    <col min="3" max="4" width="18.28515625" customWidth="1"/>
    <col min="5" max="5" width="22.7109375" customWidth="1"/>
    <col min="6" max="6" width="29.7109375" customWidth="1"/>
    <col min="7" max="7" width="23" customWidth="1"/>
    <col min="8" max="8" width="24" customWidth="1"/>
    <col min="9" max="9" width="11.85546875" bestFit="1" customWidth="1"/>
  </cols>
  <sheetData>
    <row r="1" spans="1:11" s="1" customFormat="1" ht="15.75" thickBot="1">
      <c r="A1" s="8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" t="s">
        <v>15</v>
      </c>
      <c r="J1" s="1" t="s">
        <v>13</v>
      </c>
      <c r="K1" s="1" t="s">
        <v>14</v>
      </c>
    </row>
    <row r="2" spans="1:11" ht="15.75" thickTop="1">
      <c r="A2" s="13">
        <v>1</v>
      </c>
      <c r="B2" s="2">
        <v>1</v>
      </c>
      <c r="C2" s="3">
        <v>0</v>
      </c>
      <c r="D2" s="3">
        <v>0</v>
      </c>
      <c r="E2" s="3">
        <v>0.5</v>
      </c>
      <c r="F2" s="16">
        <v>0</v>
      </c>
      <c r="G2" s="3">
        <v>7</v>
      </c>
      <c r="H2" s="4">
        <v>7</v>
      </c>
      <c r="I2" s="20">
        <f>(SUM(B2:F2)+((G2+H2)/2)/2)</f>
        <v>5</v>
      </c>
      <c r="J2">
        <f>(B2+D2+E2+F2+(H2/10))*2</f>
        <v>4.4000000000000004</v>
      </c>
      <c r="K2">
        <f>(B2+C2+E2+F2+(G2/10))*2</f>
        <v>4.4000000000000004</v>
      </c>
    </row>
    <row r="3" spans="1:11">
      <c r="A3" s="14">
        <v>2</v>
      </c>
      <c r="B3" s="2">
        <v>1</v>
      </c>
      <c r="C3" s="3">
        <v>0</v>
      </c>
      <c r="D3" s="3">
        <v>0</v>
      </c>
      <c r="E3" s="3">
        <v>0.5</v>
      </c>
      <c r="F3" s="3">
        <v>0</v>
      </c>
      <c r="G3" s="3">
        <v>7</v>
      </c>
      <c r="H3" s="4">
        <v>7</v>
      </c>
      <c r="I3" s="20">
        <f t="shared" ref="I3:I41" si="0">(SUM(B3:F3)+((G3+H3)/2)/2)</f>
        <v>5</v>
      </c>
      <c r="J3">
        <f t="shared" ref="J3:J41" si="1">(B3+D3+E3+F3+(H3/10))*2</f>
        <v>4.4000000000000004</v>
      </c>
      <c r="K3">
        <f t="shared" ref="K3:K41" si="2">(B3+C3+E3+F3+(G3/10))*2</f>
        <v>4.4000000000000004</v>
      </c>
    </row>
    <row r="4" spans="1:11">
      <c r="A4" s="13">
        <v>3</v>
      </c>
      <c r="B4" s="2">
        <v>1</v>
      </c>
      <c r="C4" s="3">
        <v>0</v>
      </c>
      <c r="D4" s="3">
        <v>0</v>
      </c>
      <c r="E4" s="3">
        <v>0.5</v>
      </c>
      <c r="F4" s="3">
        <v>0</v>
      </c>
      <c r="G4" s="3">
        <v>7</v>
      </c>
      <c r="H4" s="4">
        <v>8</v>
      </c>
      <c r="I4" s="20">
        <f t="shared" si="0"/>
        <v>5.25</v>
      </c>
      <c r="J4">
        <f t="shared" si="1"/>
        <v>4.5999999999999996</v>
      </c>
      <c r="K4">
        <f t="shared" si="2"/>
        <v>4.4000000000000004</v>
      </c>
    </row>
    <row r="5" spans="1:11">
      <c r="A5" s="14">
        <v>4</v>
      </c>
      <c r="B5" s="2">
        <v>1</v>
      </c>
      <c r="C5" s="3">
        <v>0.5</v>
      </c>
      <c r="D5" s="3">
        <v>0</v>
      </c>
      <c r="E5" s="3">
        <v>0.5</v>
      </c>
      <c r="F5" s="3">
        <v>0</v>
      </c>
      <c r="G5" s="3">
        <v>8</v>
      </c>
      <c r="H5" s="4">
        <v>8</v>
      </c>
      <c r="I5" s="20">
        <f t="shared" si="0"/>
        <v>6</v>
      </c>
      <c r="J5">
        <f t="shared" si="1"/>
        <v>4.5999999999999996</v>
      </c>
      <c r="K5">
        <f t="shared" si="2"/>
        <v>5.6</v>
      </c>
    </row>
    <row r="6" spans="1:11">
      <c r="A6" s="13">
        <v>5</v>
      </c>
      <c r="B6" s="2">
        <v>1</v>
      </c>
      <c r="C6" s="3">
        <v>1</v>
      </c>
      <c r="D6" s="3">
        <v>0</v>
      </c>
      <c r="E6" s="3">
        <v>0.5</v>
      </c>
      <c r="F6" s="3">
        <v>0</v>
      </c>
      <c r="G6" s="3">
        <v>8</v>
      </c>
      <c r="H6" s="4">
        <v>8</v>
      </c>
      <c r="I6" s="20">
        <f t="shared" si="0"/>
        <v>6.5</v>
      </c>
      <c r="J6">
        <f t="shared" si="1"/>
        <v>4.5999999999999996</v>
      </c>
      <c r="K6">
        <f t="shared" si="2"/>
        <v>6.6</v>
      </c>
    </row>
    <row r="7" spans="1:11">
      <c r="A7" s="14">
        <v>6</v>
      </c>
      <c r="B7" s="2">
        <v>1</v>
      </c>
      <c r="C7" s="3">
        <v>1</v>
      </c>
      <c r="D7" s="3">
        <v>0</v>
      </c>
      <c r="E7" s="3">
        <v>0.5</v>
      </c>
      <c r="F7" s="3">
        <v>0</v>
      </c>
      <c r="G7" s="3">
        <v>8</v>
      </c>
      <c r="H7" s="4">
        <v>8</v>
      </c>
      <c r="I7" s="20">
        <f t="shared" si="0"/>
        <v>6.5</v>
      </c>
      <c r="J7">
        <f t="shared" si="1"/>
        <v>4.5999999999999996</v>
      </c>
      <c r="K7">
        <f t="shared" si="2"/>
        <v>6.6</v>
      </c>
    </row>
    <row r="8" spans="1:11">
      <c r="A8" s="13">
        <v>7</v>
      </c>
      <c r="B8" s="2">
        <v>1</v>
      </c>
      <c r="C8" s="3">
        <v>1</v>
      </c>
      <c r="D8" s="3">
        <v>0</v>
      </c>
      <c r="E8" s="3">
        <v>1</v>
      </c>
      <c r="F8" s="3">
        <v>0</v>
      </c>
      <c r="G8" s="3">
        <v>8</v>
      </c>
      <c r="H8" s="4">
        <v>8</v>
      </c>
      <c r="I8" s="20">
        <f t="shared" si="0"/>
        <v>7</v>
      </c>
      <c r="J8">
        <f t="shared" si="1"/>
        <v>5.6</v>
      </c>
      <c r="K8">
        <f t="shared" si="2"/>
        <v>7.6</v>
      </c>
    </row>
    <row r="9" spans="1:11">
      <c r="A9" s="14">
        <v>8</v>
      </c>
      <c r="B9" s="2">
        <v>1</v>
      </c>
      <c r="C9" s="3">
        <v>1</v>
      </c>
      <c r="D9" s="3">
        <v>0</v>
      </c>
      <c r="E9" s="3">
        <v>1</v>
      </c>
      <c r="F9" s="3">
        <v>0</v>
      </c>
      <c r="G9" s="3">
        <v>8</v>
      </c>
      <c r="H9" s="4">
        <v>8</v>
      </c>
      <c r="I9" s="20">
        <f t="shared" si="0"/>
        <v>7</v>
      </c>
      <c r="J9">
        <f t="shared" si="1"/>
        <v>5.6</v>
      </c>
      <c r="K9">
        <f t="shared" si="2"/>
        <v>7.6</v>
      </c>
    </row>
    <row r="10" spans="1:11">
      <c r="A10" s="13">
        <v>9</v>
      </c>
      <c r="B10" s="2">
        <v>1</v>
      </c>
      <c r="C10" s="3">
        <v>1</v>
      </c>
      <c r="D10" s="3">
        <v>0</v>
      </c>
      <c r="E10" s="3">
        <v>1</v>
      </c>
      <c r="F10" s="3">
        <v>0</v>
      </c>
      <c r="G10" s="3">
        <v>8</v>
      </c>
      <c r="H10" s="4">
        <v>8</v>
      </c>
      <c r="I10" s="20">
        <f t="shared" si="0"/>
        <v>7</v>
      </c>
      <c r="J10">
        <f t="shared" si="1"/>
        <v>5.6</v>
      </c>
      <c r="K10">
        <f t="shared" si="2"/>
        <v>7.6</v>
      </c>
    </row>
    <row r="11" spans="1:11">
      <c r="A11" s="14">
        <v>10</v>
      </c>
      <c r="B11" s="2">
        <v>1</v>
      </c>
      <c r="C11" s="3">
        <v>1</v>
      </c>
      <c r="D11" s="3">
        <v>0</v>
      </c>
      <c r="E11" s="3">
        <v>1</v>
      </c>
      <c r="F11" s="3">
        <v>0</v>
      </c>
      <c r="G11" s="3">
        <v>8</v>
      </c>
      <c r="H11" s="4">
        <v>8</v>
      </c>
      <c r="I11" s="20">
        <f t="shared" si="0"/>
        <v>7</v>
      </c>
      <c r="J11">
        <f t="shared" si="1"/>
        <v>5.6</v>
      </c>
      <c r="K11">
        <f t="shared" si="2"/>
        <v>7.6</v>
      </c>
    </row>
    <row r="12" spans="1:11">
      <c r="A12" s="13">
        <v>11</v>
      </c>
      <c r="B12" s="2">
        <v>1</v>
      </c>
      <c r="C12" s="3">
        <v>1</v>
      </c>
      <c r="D12" s="3">
        <v>0</v>
      </c>
      <c r="E12" s="3">
        <v>1</v>
      </c>
      <c r="F12" s="3">
        <v>0</v>
      </c>
      <c r="G12" s="3">
        <v>8</v>
      </c>
      <c r="H12" s="4">
        <v>9</v>
      </c>
      <c r="I12" s="20">
        <f t="shared" si="0"/>
        <v>7.25</v>
      </c>
      <c r="J12">
        <f t="shared" si="1"/>
        <v>5.8</v>
      </c>
      <c r="K12">
        <f t="shared" si="2"/>
        <v>7.6</v>
      </c>
    </row>
    <row r="13" spans="1:11">
      <c r="A13" s="14">
        <v>12</v>
      </c>
      <c r="B13" s="2">
        <v>1</v>
      </c>
      <c r="C13" s="3">
        <v>1</v>
      </c>
      <c r="D13" s="3">
        <v>0</v>
      </c>
      <c r="E13" s="3">
        <v>1</v>
      </c>
      <c r="F13" s="3">
        <v>0.5</v>
      </c>
      <c r="G13" s="3">
        <v>8</v>
      </c>
      <c r="H13" s="4">
        <v>9</v>
      </c>
      <c r="I13" s="20">
        <f t="shared" si="0"/>
        <v>7.75</v>
      </c>
      <c r="J13">
        <f t="shared" si="1"/>
        <v>6.8</v>
      </c>
      <c r="K13">
        <f t="shared" si="2"/>
        <v>8.6</v>
      </c>
    </row>
    <row r="14" spans="1:11">
      <c r="A14" s="13">
        <v>13</v>
      </c>
      <c r="B14" s="2">
        <v>1</v>
      </c>
      <c r="C14" s="3">
        <v>1</v>
      </c>
      <c r="D14" s="3">
        <v>0</v>
      </c>
      <c r="E14" s="3">
        <v>1</v>
      </c>
      <c r="F14" s="3">
        <v>0.5</v>
      </c>
      <c r="G14" s="3">
        <v>8</v>
      </c>
      <c r="H14" s="4">
        <v>9</v>
      </c>
      <c r="I14" s="20">
        <f t="shared" si="0"/>
        <v>7.75</v>
      </c>
      <c r="J14">
        <f t="shared" si="1"/>
        <v>6.8</v>
      </c>
      <c r="K14">
        <f t="shared" si="2"/>
        <v>8.6</v>
      </c>
    </row>
    <row r="15" spans="1:11">
      <c r="A15" s="14">
        <v>14</v>
      </c>
      <c r="B15" s="2">
        <v>1</v>
      </c>
      <c r="C15" s="3">
        <v>1</v>
      </c>
      <c r="D15" s="3">
        <v>0</v>
      </c>
      <c r="E15" s="3">
        <v>1</v>
      </c>
      <c r="F15" s="3">
        <v>0.5</v>
      </c>
      <c r="G15" s="3">
        <v>8</v>
      </c>
      <c r="H15" s="4">
        <v>9</v>
      </c>
      <c r="I15" s="20">
        <f t="shared" si="0"/>
        <v>7.75</v>
      </c>
      <c r="J15">
        <f t="shared" si="1"/>
        <v>6.8</v>
      </c>
      <c r="K15">
        <f t="shared" si="2"/>
        <v>8.6</v>
      </c>
    </row>
    <row r="16" spans="1:11">
      <c r="A16" s="13">
        <v>15</v>
      </c>
      <c r="B16" s="2">
        <v>1</v>
      </c>
      <c r="C16" s="3">
        <v>1</v>
      </c>
      <c r="D16" s="3">
        <v>0.5</v>
      </c>
      <c r="E16" s="3">
        <v>1</v>
      </c>
      <c r="F16" s="3">
        <v>0.5</v>
      </c>
      <c r="G16" s="3">
        <v>8</v>
      </c>
      <c r="H16" s="4">
        <v>9</v>
      </c>
      <c r="I16" s="20">
        <f t="shared" si="0"/>
        <v>8.25</v>
      </c>
      <c r="J16">
        <f t="shared" si="1"/>
        <v>7.8</v>
      </c>
      <c r="K16">
        <f t="shared" si="2"/>
        <v>8.6</v>
      </c>
    </row>
    <row r="17" spans="1:11">
      <c r="A17" s="14">
        <v>16</v>
      </c>
      <c r="B17" s="2">
        <v>1</v>
      </c>
      <c r="C17" s="3">
        <v>1</v>
      </c>
      <c r="D17" s="3">
        <v>0.5</v>
      </c>
      <c r="E17" s="3">
        <v>1</v>
      </c>
      <c r="F17" s="3">
        <v>0.5</v>
      </c>
      <c r="G17" s="3">
        <v>8.5</v>
      </c>
      <c r="H17" s="4">
        <v>9</v>
      </c>
      <c r="I17" s="20">
        <f t="shared" si="0"/>
        <v>8.375</v>
      </c>
      <c r="J17">
        <f t="shared" si="1"/>
        <v>7.8</v>
      </c>
      <c r="K17">
        <f t="shared" si="2"/>
        <v>8.6999999999999993</v>
      </c>
    </row>
    <row r="18" spans="1:11">
      <c r="A18" s="13">
        <v>17</v>
      </c>
      <c r="B18" s="2">
        <v>1</v>
      </c>
      <c r="C18" s="3">
        <v>1</v>
      </c>
      <c r="D18" s="3">
        <v>0.5</v>
      </c>
      <c r="E18" s="3">
        <v>1</v>
      </c>
      <c r="F18" s="3">
        <v>0.5</v>
      </c>
      <c r="G18" s="3">
        <v>9</v>
      </c>
      <c r="H18" s="4">
        <v>9</v>
      </c>
      <c r="I18" s="20">
        <f t="shared" si="0"/>
        <v>8.5</v>
      </c>
      <c r="J18">
        <f t="shared" si="1"/>
        <v>7.8</v>
      </c>
      <c r="K18">
        <f t="shared" si="2"/>
        <v>8.8000000000000007</v>
      </c>
    </row>
    <row r="19" spans="1:11">
      <c r="A19" s="14">
        <v>18</v>
      </c>
      <c r="B19" s="2">
        <v>1</v>
      </c>
      <c r="C19" s="3">
        <v>1</v>
      </c>
      <c r="D19" s="3">
        <v>0.5</v>
      </c>
      <c r="E19" s="3">
        <v>1</v>
      </c>
      <c r="F19" s="3">
        <v>0.5</v>
      </c>
      <c r="G19" s="3">
        <v>9</v>
      </c>
      <c r="H19" s="4">
        <v>9</v>
      </c>
      <c r="I19" s="20">
        <f t="shared" si="0"/>
        <v>8.5</v>
      </c>
      <c r="J19">
        <f t="shared" si="1"/>
        <v>7.8</v>
      </c>
      <c r="K19">
        <f t="shared" si="2"/>
        <v>8.8000000000000007</v>
      </c>
    </row>
    <row r="20" spans="1:11">
      <c r="A20" s="13">
        <v>19</v>
      </c>
      <c r="B20" s="2">
        <v>1</v>
      </c>
      <c r="C20" s="3">
        <v>1</v>
      </c>
      <c r="D20" s="3">
        <v>0.5</v>
      </c>
      <c r="E20" s="3">
        <v>1</v>
      </c>
      <c r="F20" s="3">
        <v>0.5</v>
      </c>
      <c r="G20" s="3">
        <v>9</v>
      </c>
      <c r="H20" s="4">
        <v>9</v>
      </c>
      <c r="I20" s="20">
        <f t="shared" si="0"/>
        <v>8.5</v>
      </c>
      <c r="J20">
        <f t="shared" si="1"/>
        <v>7.8</v>
      </c>
      <c r="K20">
        <f t="shared" si="2"/>
        <v>8.8000000000000007</v>
      </c>
    </row>
    <row r="21" spans="1:11">
      <c r="A21" s="14">
        <v>20</v>
      </c>
      <c r="B21" s="2">
        <v>1</v>
      </c>
      <c r="C21" s="3">
        <v>1</v>
      </c>
      <c r="D21" s="3">
        <v>0.5</v>
      </c>
      <c r="E21" s="3">
        <v>1</v>
      </c>
      <c r="F21" s="3">
        <v>0.5</v>
      </c>
      <c r="G21" s="3">
        <v>9</v>
      </c>
      <c r="H21" s="4">
        <v>9</v>
      </c>
      <c r="I21" s="20">
        <f t="shared" si="0"/>
        <v>8.5</v>
      </c>
      <c r="J21">
        <f t="shared" si="1"/>
        <v>7.8</v>
      </c>
      <c r="K21">
        <f t="shared" si="2"/>
        <v>8.8000000000000007</v>
      </c>
    </row>
    <row r="22" spans="1:11">
      <c r="A22" s="13">
        <v>21</v>
      </c>
      <c r="B22" s="2">
        <v>1</v>
      </c>
      <c r="C22" s="3">
        <v>1</v>
      </c>
      <c r="D22" s="3">
        <v>0.5</v>
      </c>
      <c r="E22" s="3">
        <v>1</v>
      </c>
      <c r="F22" s="3">
        <v>0.5</v>
      </c>
      <c r="G22" s="3">
        <v>9</v>
      </c>
      <c r="H22" s="4">
        <v>9</v>
      </c>
      <c r="I22" s="20">
        <f t="shared" si="0"/>
        <v>8.5</v>
      </c>
      <c r="J22">
        <f t="shared" si="1"/>
        <v>7.8</v>
      </c>
      <c r="K22">
        <f t="shared" si="2"/>
        <v>8.8000000000000007</v>
      </c>
    </row>
    <row r="23" spans="1:11">
      <c r="A23" s="14">
        <v>22</v>
      </c>
      <c r="B23" s="2">
        <v>1</v>
      </c>
      <c r="C23" s="3">
        <v>1</v>
      </c>
      <c r="D23" s="3">
        <v>0.5</v>
      </c>
      <c r="E23" s="3">
        <v>1</v>
      </c>
      <c r="F23" s="3">
        <v>0.5</v>
      </c>
      <c r="G23" s="3">
        <v>9</v>
      </c>
      <c r="H23" s="4">
        <v>9</v>
      </c>
      <c r="I23" s="20">
        <f t="shared" si="0"/>
        <v>8.5</v>
      </c>
      <c r="J23">
        <f t="shared" si="1"/>
        <v>7.8</v>
      </c>
      <c r="K23">
        <f t="shared" si="2"/>
        <v>8.8000000000000007</v>
      </c>
    </row>
    <row r="24" spans="1:11">
      <c r="A24" s="13">
        <v>23</v>
      </c>
      <c r="B24" s="2">
        <v>1</v>
      </c>
      <c r="C24" s="3">
        <v>1</v>
      </c>
      <c r="D24" s="3">
        <v>1</v>
      </c>
      <c r="E24" s="3">
        <v>1</v>
      </c>
      <c r="F24" s="3">
        <v>0.5</v>
      </c>
      <c r="G24" s="3">
        <v>9</v>
      </c>
      <c r="H24" s="4">
        <v>9</v>
      </c>
      <c r="I24" s="20">
        <f t="shared" si="0"/>
        <v>9</v>
      </c>
      <c r="J24">
        <f t="shared" si="1"/>
        <v>8.8000000000000007</v>
      </c>
      <c r="K24">
        <f t="shared" si="2"/>
        <v>8.8000000000000007</v>
      </c>
    </row>
    <row r="25" spans="1:11">
      <c r="A25" s="14">
        <v>24</v>
      </c>
      <c r="B25" s="2">
        <v>1</v>
      </c>
      <c r="C25" s="3">
        <v>1</v>
      </c>
      <c r="D25" s="3">
        <v>1</v>
      </c>
      <c r="E25" s="3">
        <v>1</v>
      </c>
      <c r="F25" s="3">
        <v>0.5</v>
      </c>
      <c r="G25" s="3">
        <v>9</v>
      </c>
      <c r="H25" s="4">
        <v>9</v>
      </c>
      <c r="I25" s="20">
        <f t="shared" si="0"/>
        <v>9</v>
      </c>
      <c r="J25">
        <f t="shared" si="1"/>
        <v>8.8000000000000007</v>
      </c>
      <c r="K25">
        <f>(B25+C25+E25+F25+(G25/10))*2</f>
        <v>8.8000000000000007</v>
      </c>
    </row>
    <row r="26" spans="1:11">
      <c r="A26" s="13">
        <v>25</v>
      </c>
      <c r="B26" s="2">
        <v>1</v>
      </c>
      <c r="C26" s="3">
        <v>1</v>
      </c>
      <c r="D26" s="3">
        <v>1</v>
      </c>
      <c r="E26" s="3">
        <v>1</v>
      </c>
      <c r="F26" s="3">
        <v>0.5</v>
      </c>
      <c r="G26" s="3">
        <v>9</v>
      </c>
      <c r="H26" s="4">
        <v>9</v>
      </c>
      <c r="I26" s="20">
        <f>(SUM(B26:F26)+((G26+H26)/2)/2)</f>
        <v>9</v>
      </c>
      <c r="J26">
        <f t="shared" si="1"/>
        <v>8.8000000000000007</v>
      </c>
      <c r="K26">
        <f t="shared" si="2"/>
        <v>8.8000000000000007</v>
      </c>
    </row>
    <row r="27" spans="1:11">
      <c r="A27" s="14">
        <v>26</v>
      </c>
      <c r="B27" s="2">
        <v>1</v>
      </c>
      <c r="C27" s="3">
        <v>1</v>
      </c>
      <c r="D27" s="3">
        <v>1</v>
      </c>
      <c r="E27" s="3">
        <v>1</v>
      </c>
      <c r="F27" s="3">
        <v>0.5</v>
      </c>
      <c r="G27" s="3">
        <v>9</v>
      </c>
      <c r="H27" s="4">
        <v>9</v>
      </c>
      <c r="I27" s="20">
        <f t="shared" si="0"/>
        <v>9</v>
      </c>
      <c r="J27">
        <f t="shared" si="1"/>
        <v>8.8000000000000007</v>
      </c>
      <c r="K27">
        <f t="shared" si="2"/>
        <v>8.8000000000000007</v>
      </c>
    </row>
    <row r="28" spans="1:11">
      <c r="A28" s="13">
        <v>27</v>
      </c>
      <c r="B28" s="2">
        <v>1</v>
      </c>
      <c r="C28" s="3">
        <v>1</v>
      </c>
      <c r="D28" s="3">
        <v>1</v>
      </c>
      <c r="E28" s="3">
        <v>1</v>
      </c>
      <c r="F28" s="3">
        <v>0.5</v>
      </c>
      <c r="G28" s="3">
        <v>9</v>
      </c>
      <c r="H28" s="4">
        <v>9</v>
      </c>
      <c r="I28" s="20">
        <f t="shared" si="0"/>
        <v>9</v>
      </c>
      <c r="J28">
        <f t="shared" si="1"/>
        <v>8.8000000000000007</v>
      </c>
      <c r="K28">
        <f t="shared" si="2"/>
        <v>8.8000000000000007</v>
      </c>
    </row>
    <row r="29" spans="1:11">
      <c r="A29" s="13">
        <v>28</v>
      </c>
      <c r="B29" s="2">
        <v>1</v>
      </c>
      <c r="C29" s="3">
        <v>1</v>
      </c>
      <c r="D29" s="3">
        <v>1</v>
      </c>
      <c r="E29" s="3">
        <v>1</v>
      </c>
      <c r="F29" s="3">
        <v>0.5</v>
      </c>
      <c r="G29" s="3">
        <v>9</v>
      </c>
      <c r="H29" s="4">
        <v>9</v>
      </c>
      <c r="I29" s="20">
        <f t="shared" si="0"/>
        <v>9</v>
      </c>
      <c r="J29">
        <f t="shared" si="1"/>
        <v>8.8000000000000007</v>
      </c>
      <c r="K29">
        <f t="shared" si="2"/>
        <v>8.8000000000000007</v>
      </c>
    </row>
    <row r="30" spans="1:11">
      <c r="A30" s="14">
        <v>29</v>
      </c>
      <c r="B30" s="2">
        <v>1</v>
      </c>
      <c r="C30" s="3">
        <v>1</v>
      </c>
      <c r="D30" s="3">
        <v>1</v>
      </c>
      <c r="E30" s="3">
        <v>1</v>
      </c>
      <c r="F30" s="3">
        <v>0.5</v>
      </c>
      <c r="G30" s="3">
        <v>9</v>
      </c>
      <c r="H30" s="4">
        <v>9</v>
      </c>
      <c r="I30" s="20">
        <f t="shared" si="0"/>
        <v>9</v>
      </c>
      <c r="J30">
        <f t="shared" si="1"/>
        <v>8.8000000000000007</v>
      </c>
      <c r="K30">
        <f t="shared" si="2"/>
        <v>8.8000000000000007</v>
      </c>
    </row>
    <row r="31" spans="1:11">
      <c r="A31" s="13">
        <v>30</v>
      </c>
      <c r="B31" s="2">
        <v>1</v>
      </c>
      <c r="C31" s="3">
        <v>1</v>
      </c>
      <c r="D31" s="3">
        <v>1</v>
      </c>
      <c r="E31" s="3">
        <v>1</v>
      </c>
      <c r="F31" s="3">
        <v>0.5</v>
      </c>
      <c r="G31" s="3">
        <v>9</v>
      </c>
      <c r="H31" s="4">
        <v>9</v>
      </c>
      <c r="I31" s="20">
        <f t="shared" si="0"/>
        <v>9</v>
      </c>
      <c r="J31">
        <f t="shared" si="1"/>
        <v>8.8000000000000007</v>
      </c>
      <c r="K31">
        <f t="shared" si="2"/>
        <v>8.8000000000000007</v>
      </c>
    </row>
    <row r="32" spans="1:11">
      <c r="A32" s="14">
        <v>31</v>
      </c>
      <c r="B32" s="2">
        <v>1</v>
      </c>
      <c r="C32" s="3">
        <v>1</v>
      </c>
      <c r="D32" s="3">
        <v>1</v>
      </c>
      <c r="E32" s="3">
        <v>1</v>
      </c>
      <c r="F32" s="3">
        <v>0.5</v>
      </c>
      <c r="G32" s="3">
        <v>9</v>
      </c>
      <c r="H32" s="4">
        <v>10</v>
      </c>
      <c r="I32" s="20">
        <f t="shared" si="0"/>
        <v>9.25</v>
      </c>
      <c r="J32">
        <f t="shared" si="1"/>
        <v>9</v>
      </c>
      <c r="K32">
        <f t="shared" si="2"/>
        <v>8.8000000000000007</v>
      </c>
    </row>
    <row r="33" spans="1:11">
      <c r="A33" s="13">
        <v>32</v>
      </c>
      <c r="B33" s="2">
        <v>1</v>
      </c>
      <c r="C33" s="3">
        <v>1</v>
      </c>
      <c r="D33" s="3">
        <v>1</v>
      </c>
      <c r="E33" s="3">
        <v>1</v>
      </c>
      <c r="F33" s="3">
        <v>0.5</v>
      </c>
      <c r="G33" s="3">
        <v>9</v>
      </c>
      <c r="H33" s="4">
        <v>10</v>
      </c>
      <c r="I33" s="20">
        <f t="shared" si="0"/>
        <v>9.25</v>
      </c>
      <c r="J33">
        <f>(B33+D33+E33+F33+(H33/10))*2</f>
        <v>9</v>
      </c>
      <c r="K33">
        <f t="shared" si="2"/>
        <v>8.8000000000000007</v>
      </c>
    </row>
    <row r="34" spans="1:11">
      <c r="A34" s="14">
        <v>33</v>
      </c>
      <c r="B34" s="2">
        <v>1</v>
      </c>
      <c r="C34" s="3">
        <v>1</v>
      </c>
      <c r="D34" s="3">
        <v>1</v>
      </c>
      <c r="E34" s="3">
        <v>1</v>
      </c>
      <c r="F34" s="3">
        <v>1</v>
      </c>
      <c r="G34" s="3">
        <v>9</v>
      </c>
      <c r="H34" s="4">
        <v>10</v>
      </c>
      <c r="I34" s="20">
        <f t="shared" si="0"/>
        <v>9.75</v>
      </c>
      <c r="J34">
        <f t="shared" si="1"/>
        <v>10</v>
      </c>
      <c r="K34">
        <f t="shared" si="2"/>
        <v>9.8000000000000007</v>
      </c>
    </row>
    <row r="35" spans="1:11">
      <c r="A35" s="13">
        <v>34</v>
      </c>
      <c r="B35" s="2">
        <v>1</v>
      </c>
      <c r="C35" s="3">
        <v>1</v>
      </c>
      <c r="D35" s="3">
        <v>1</v>
      </c>
      <c r="E35" s="3">
        <v>1</v>
      </c>
      <c r="F35" s="3">
        <v>1</v>
      </c>
      <c r="G35" s="3">
        <v>10</v>
      </c>
      <c r="H35" s="4">
        <v>10</v>
      </c>
      <c r="I35" s="20">
        <f t="shared" si="0"/>
        <v>10</v>
      </c>
      <c r="J35">
        <f t="shared" si="1"/>
        <v>10</v>
      </c>
      <c r="K35">
        <f t="shared" si="2"/>
        <v>10</v>
      </c>
    </row>
    <row r="36" spans="1:11">
      <c r="A36" s="14">
        <v>35</v>
      </c>
      <c r="B36" s="2">
        <v>1</v>
      </c>
      <c r="C36" s="3">
        <v>1</v>
      </c>
      <c r="D36" s="3">
        <v>1</v>
      </c>
      <c r="E36" s="3">
        <v>1</v>
      </c>
      <c r="F36" s="3">
        <v>1</v>
      </c>
      <c r="G36" s="3">
        <v>10</v>
      </c>
      <c r="H36" s="4">
        <v>10</v>
      </c>
      <c r="I36" s="20">
        <f t="shared" si="0"/>
        <v>10</v>
      </c>
      <c r="J36">
        <f t="shared" si="1"/>
        <v>10</v>
      </c>
      <c r="K36">
        <f t="shared" si="2"/>
        <v>10</v>
      </c>
    </row>
    <row r="37" spans="1:11">
      <c r="A37" s="13">
        <v>36</v>
      </c>
      <c r="B37" s="2">
        <v>1</v>
      </c>
      <c r="C37" s="3">
        <v>1</v>
      </c>
      <c r="D37" s="3">
        <v>1</v>
      </c>
      <c r="E37" s="3">
        <v>1</v>
      </c>
      <c r="F37" s="3">
        <v>1</v>
      </c>
      <c r="G37" s="3">
        <v>10</v>
      </c>
      <c r="H37" s="4">
        <v>10</v>
      </c>
      <c r="I37" s="20">
        <f t="shared" si="0"/>
        <v>10</v>
      </c>
      <c r="J37">
        <f t="shared" si="1"/>
        <v>10</v>
      </c>
      <c r="K37">
        <f t="shared" si="2"/>
        <v>10</v>
      </c>
    </row>
    <row r="38" spans="1:11">
      <c r="A38" s="14">
        <v>37</v>
      </c>
      <c r="B38" s="2">
        <v>1</v>
      </c>
      <c r="C38" s="3">
        <v>1</v>
      </c>
      <c r="D38" s="3">
        <v>1</v>
      </c>
      <c r="E38" s="3">
        <v>1</v>
      </c>
      <c r="F38" s="3">
        <v>1</v>
      </c>
      <c r="G38" s="3">
        <v>10</v>
      </c>
      <c r="H38" s="4">
        <v>10</v>
      </c>
      <c r="I38" s="20">
        <f t="shared" si="0"/>
        <v>10</v>
      </c>
      <c r="J38">
        <f t="shared" si="1"/>
        <v>10</v>
      </c>
      <c r="K38">
        <f t="shared" si="2"/>
        <v>10</v>
      </c>
    </row>
    <row r="39" spans="1:11">
      <c r="A39" s="13">
        <v>38</v>
      </c>
      <c r="B39" s="2">
        <v>1</v>
      </c>
      <c r="C39" s="3">
        <v>1</v>
      </c>
      <c r="D39" s="3">
        <v>1</v>
      </c>
      <c r="E39" s="3">
        <v>1</v>
      </c>
      <c r="F39" s="3">
        <v>1</v>
      </c>
      <c r="G39" s="3">
        <v>10</v>
      </c>
      <c r="H39" s="4">
        <v>10</v>
      </c>
      <c r="I39" s="20">
        <f t="shared" si="0"/>
        <v>10</v>
      </c>
      <c r="J39">
        <f t="shared" si="1"/>
        <v>10</v>
      </c>
      <c r="K39">
        <f t="shared" si="2"/>
        <v>10</v>
      </c>
    </row>
    <row r="40" spans="1:11">
      <c r="A40" s="21">
        <v>39</v>
      </c>
      <c r="B40" s="3">
        <v>1</v>
      </c>
      <c r="C40" s="3">
        <v>1</v>
      </c>
      <c r="D40" s="3">
        <v>1</v>
      </c>
      <c r="E40" s="3">
        <v>1</v>
      </c>
      <c r="F40" s="3">
        <v>1</v>
      </c>
      <c r="G40" s="23">
        <v>10</v>
      </c>
      <c r="H40" s="4">
        <v>10</v>
      </c>
      <c r="I40" s="20">
        <f t="shared" si="0"/>
        <v>10</v>
      </c>
      <c r="J40">
        <f t="shared" si="1"/>
        <v>10</v>
      </c>
      <c r="K40">
        <f t="shared" si="2"/>
        <v>10</v>
      </c>
    </row>
    <row r="41" spans="1:11">
      <c r="A41" s="22">
        <v>40</v>
      </c>
      <c r="B41" s="3">
        <v>1</v>
      </c>
      <c r="C41" s="3">
        <v>1</v>
      </c>
      <c r="D41" s="3">
        <v>1</v>
      </c>
      <c r="E41" s="3">
        <v>1</v>
      </c>
      <c r="F41" s="3">
        <v>1</v>
      </c>
      <c r="G41" s="3">
        <v>10</v>
      </c>
      <c r="H41" s="4">
        <v>10</v>
      </c>
      <c r="I41" s="20">
        <f t="shared" si="0"/>
        <v>10</v>
      </c>
      <c r="J41">
        <f t="shared" si="1"/>
        <v>10</v>
      </c>
      <c r="K41">
        <f t="shared" si="2"/>
        <v>10</v>
      </c>
    </row>
    <row r="42" spans="1:11">
      <c r="A42" s="21">
        <v>41</v>
      </c>
      <c r="B42" s="3"/>
      <c r="C42" s="3"/>
      <c r="D42" s="3"/>
      <c r="E42" s="3"/>
      <c r="F42" s="3"/>
      <c r="H42" s="4"/>
      <c r="I42" s="20"/>
    </row>
    <row r="43" spans="1:11">
      <c r="A43" s="22">
        <v>42</v>
      </c>
      <c r="B43" s="3"/>
      <c r="C43" s="3"/>
      <c r="D43" s="3"/>
      <c r="E43" s="3"/>
      <c r="F43" s="3"/>
      <c r="G43" s="3"/>
      <c r="H43" s="4"/>
      <c r="I43" s="20"/>
    </row>
    <row r="44" spans="1:11">
      <c r="A44" s="21">
        <v>43</v>
      </c>
      <c r="B44" s="3"/>
      <c r="C44" s="3"/>
      <c r="D44" s="3"/>
      <c r="E44" s="3"/>
      <c r="F44" s="3"/>
      <c r="H44" s="4"/>
      <c r="I44" s="20"/>
    </row>
    <row r="45" spans="1:11">
      <c r="A45" s="13">
        <v>44</v>
      </c>
      <c r="B45" s="2"/>
      <c r="C45" s="3"/>
      <c r="D45" s="3"/>
      <c r="E45" s="3"/>
      <c r="F45" s="3"/>
      <c r="G45" s="3"/>
      <c r="H45" s="4"/>
      <c r="I45" s="20"/>
    </row>
    <row r="46" spans="1:11">
      <c r="A46" s="14">
        <v>45</v>
      </c>
      <c r="B46" s="2"/>
      <c r="C46" s="3"/>
      <c r="D46" s="3"/>
      <c r="E46" s="3"/>
      <c r="F46" s="3"/>
      <c r="G46" s="3"/>
      <c r="H46" s="4"/>
      <c r="I46" s="20"/>
    </row>
    <row r="47" spans="1:11">
      <c r="A47" s="13">
        <v>46</v>
      </c>
      <c r="B47" s="2"/>
      <c r="C47" s="3"/>
      <c r="D47" s="3"/>
      <c r="E47" s="3"/>
      <c r="F47" s="3"/>
      <c r="G47" s="3"/>
      <c r="H47" s="4"/>
      <c r="I47" s="20"/>
    </row>
    <row r="48" spans="1:11">
      <c r="A48" s="14">
        <v>47</v>
      </c>
      <c r="B48" s="2"/>
      <c r="C48" s="3"/>
      <c r="D48" s="3"/>
      <c r="E48" s="3"/>
      <c r="F48" s="3"/>
      <c r="G48" s="3"/>
      <c r="H48" s="4"/>
      <c r="I48" s="20"/>
    </row>
    <row r="49" spans="1:11">
      <c r="A49" s="13">
        <v>48</v>
      </c>
      <c r="B49" s="2"/>
      <c r="C49" s="3"/>
      <c r="D49" s="3"/>
      <c r="E49" s="3"/>
      <c r="F49" s="3"/>
      <c r="G49" s="3"/>
      <c r="H49" s="4"/>
      <c r="I49" s="20"/>
    </row>
    <row r="50" spans="1:11">
      <c r="A50" s="14">
        <v>49</v>
      </c>
      <c r="B50" s="2"/>
      <c r="C50" s="3"/>
      <c r="D50" s="3"/>
      <c r="E50" s="3"/>
      <c r="F50" s="3"/>
      <c r="G50" s="3"/>
      <c r="H50" s="4"/>
      <c r="I50" s="20"/>
    </row>
    <row r="51" spans="1:11" ht="15.75" thickBot="1">
      <c r="A51" s="15">
        <v>50</v>
      </c>
      <c r="B51" s="5"/>
      <c r="C51" s="6"/>
      <c r="D51" s="6"/>
      <c r="E51" s="6"/>
      <c r="F51" s="6"/>
      <c r="G51" s="6"/>
      <c r="H51" s="7"/>
      <c r="I51" s="20"/>
    </row>
    <row r="53" spans="1:11">
      <c r="I53" s="20">
        <f>(SUM(I2:I41))/40</f>
        <v>8.265625</v>
      </c>
      <c r="J53" s="20">
        <f>(SUM(J2:J41))/40</f>
        <v>7.6650000000000018</v>
      </c>
      <c r="K53" s="20">
        <f>(SUM(K2:K41))/43</f>
        <v>7.7604651162790734</v>
      </c>
    </row>
    <row r="62" spans="1:11">
      <c r="B62" s="18">
        <f>(SUM(B2:B39)/43)*10</f>
        <v>8.8372093023255811</v>
      </c>
      <c r="C62" s="18">
        <f>(SUM(C2:C39)/43)*10</f>
        <v>8.0232558139534884</v>
      </c>
      <c r="D62" s="18">
        <f>(SUM(D2:D39)/43)*10</f>
        <v>4.6511627906976747</v>
      </c>
      <c r="E62" s="18">
        <f>SUM(E2:E39)/43*10</f>
        <v>8.1395348837209305</v>
      </c>
      <c r="F62" s="18">
        <f>SUM(F2:F39)/43*10</f>
        <v>3.8372093023255816</v>
      </c>
      <c r="G62" s="18">
        <f>SUM(G2:G39)/43</f>
        <v>7.6395348837209305</v>
      </c>
      <c r="H62" s="18">
        <f>SUM(H2:H39)/43</f>
        <v>7.8604651162790695</v>
      </c>
    </row>
    <row r="64" spans="1:11">
      <c r="C64" s="9">
        <f>(B62+D62+E62+F62+G62+H62)/5</f>
        <v>8.1930232558139551</v>
      </c>
    </row>
    <row r="65" spans="3:3">
      <c r="C65" s="9">
        <f>(B62+C62+E62+F62+G62+H62)/5</f>
        <v>8.8674418604651173</v>
      </c>
    </row>
    <row r="66" spans="3:3">
      <c r="C66" s="9"/>
    </row>
    <row r="67" spans="3:3">
      <c r="C67" s="17"/>
    </row>
    <row r="68" spans="3:3">
      <c r="C68" s="17"/>
    </row>
  </sheetData>
  <sortState ref="H2:H44">
    <sortCondition ref="H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5"/>
  <sheetViews>
    <sheetView workbookViewId="0">
      <selection activeCell="B5" sqref="B5"/>
    </sheetView>
  </sheetViews>
  <sheetFormatPr baseColWidth="10" defaultRowHeight="15"/>
  <cols>
    <col min="1" max="1" width="34.42578125" customWidth="1"/>
  </cols>
  <sheetData>
    <row r="2" spans="1:2">
      <c r="A2" t="s">
        <v>8</v>
      </c>
      <c r="B2">
        <f>Hoja1!C64</f>
        <v>8.1930232558139551</v>
      </c>
    </row>
    <row r="3" spans="1:2">
      <c r="A3" t="s">
        <v>9</v>
      </c>
      <c r="B3">
        <f>Hoja1!C65</f>
        <v>8.8674418604651173</v>
      </c>
    </row>
    <row r="5" spans="1:2">
      <c r="A5" t="s">
        <v>10</v>
      </c>
      <c r="B5">
        <f>(B2 + B3)/2</f>
        <v>8.5302325581395362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0"/>
  <sheetViews>
    <sheetView topLeftCell="A13" workbookViewId="0">
      <selection activeCell="A21" sqref="A21"/>
    </sheetView>
  </sheetViews>
  <sheetFormatPr baseColWidth="10" defaultRowHeight="15"/>
  <cols>
    <col min="1" max="1" width="22.85546875" style="1" customWidth="1"/>
  </cols>
  <sheetData>
    <row r="1" spans="1:1">
      <c r="A1" s="1" t="s">
        <v>1</v>
      </c>
    </row>
    <row r="2" spans="1:1">
      <c r="A2" s="19">
        <v>38</v>
      </c>
    </row>
    <row r="3" spans="1:1">
      <c r="A3" s="19">
        <v>3</v>
      </c>
    </row>
    <row r="4" spans="1:1">
      <c r="A4" s="19">
        <v>1</v>
      </c>
    </row>
    <row r="5" spans="1:1">
      <c r="A5" s="1" t="s">
        <v>11</v>
      </c>
    </row>
    <row r="6" spans="1:1">
      <c r="A6" s="19">
        <v>35</v>
      </c>
    </row>
    <row r="7" spans="1:1">
      <c r="A7" s="19">
        <v>1</v>
      </c>
    </row>
    <row r="8" spans="1:1">
      <c r="A8" s="19">
        <v>8</v>
      </c>
    </row>
    <row r="9" spans="1:1">
      <c r="A9" s="1" t="s">
        <v>3</v>
      </c>
    </row>
    <row r="10" spans="1:1">
      <c r="A10" s="1">
        <v>16</v>
      </c>
    </row>
    <row r="11" spans="1:1">
      <c r="A11" s="1">
        <v>8</v>
      </c>
    </row>
    <row r="12" spans="1:1">
      <c r="A12" s="1">
        <v>20</v>
      </c>
    </row>
    <row r="13" spans="1:1">
      <c r="A13" s="1" t="s">
        <v>12</v>
      </c>
    </row>
    <row r="14" spans="1:1">
      <c r="A14" s="1">
        <v>32</v>
      </c>
    </row>
    <row r="15" spans="1:1">
      <c r="A15" s="1">
        <v>9</v>
      </c>
    </row>
    <row r="16" spans="1:1">
      <c r="A16" s="1">
        <v>3</v>
      </c>
    </row>
    <row r="17" spans="1:1" ht="58.5" customHeight="1">
      <c r="A17" s="1" t="s">
        <v>5</v>
      </c>
    </row>
    <row r="18" spans="1:1">
      <c r="A18" s="1">
        <v>6</v>
      </c>
    </row>
    <row r="19" spans="1:1">
      <c r="A19" s="1">
        <v>21</v>
      </c>
    </row>
    <row r="20" spans="1:1">
      <c r="A20" s="1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Néstor Rodríguez</dc:creator>
  <cp:lastModifiedBy>Néstor Rodríguez</cp:lastModifiedBy>
  <dcterms:created xsi:type="dcterms:W3CDTF">2013-09-20T17:56:06Z</dcterms:created>
  <dcterms:modified xsi:type="dcterms:W3CDTF">2013-09-23T04:19:37Z</dcterms:modified>
</cp:coreProperties>
</file>